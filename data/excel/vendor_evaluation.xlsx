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73503750724c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dor_Scoring" sheetId="1" r:id="Ra60789cf273c4e71"/>
    <x:sheet xmlns:r="http://schemas.openxmlformats.org/officeDocument/2006/relationships" name="Risk_Register" sheetId="2" r:id="R92bf8d4bd8874f0d"/>
    <x:sheet xmlns:r="http://schemas.openxmlformats.org/officeDocument/2006/relationships" name="Metadata" sheetId="3" r:id="R065dc08d987348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D4ED8"/>
      </x:patternFill>
    </x:fill>
    <x:fill>
      <x:patternFill patternType="solid">
        <x:fgColor rgb="334155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5838f94f424aad" /><Relationship Type="http://schemas.openxmlformats.org/officeDocument/2006/relationships/theme" Target="/xl/theme/theme1.xml" Id="Rac1c363536cf417a" /><Relationship Type="http://schemas.openxmlformats.org/officeDocument/2006/relationships/sharedStrings" Target="/xl/sharedStrings.xml" Id="R1de389085f8941ee" /><Relationship Type="http://schemas.openxmlformats.org/officeDocument/2006/relationships/worksheet" Target="/xl/worksheets/sheet1.xml" Id="Ra60789cf273c4e71" /><Relationship Type="http://schemas.openxmlformats.org/officeDocument/2006/relationships/worksheet" Target="/xl/worksheets/sheet2.xml" Id="R92bf8d4bd8874f0d" /><Relationship Type="http://schemas.openxmlformats.org/officeDocument/2006/relationships/worksheet" Target="/xl/worksheets/sheet3.xml" Id="R065dc08d987348ab" /></Relationships>
</file>

<file path=xl/tables/table1.xml><?xml version="1.0" encoding="utf-8"?>
<x:table xmlns:x="http://schemas.openxmlformats.org/spreadsheetml/2006/main" id="1" name="VendorScoringTable" displayName="VendorScoringTable" ref="A1:J7" headerRowCount="1">
  <x:tableColumns count="10">
    <x:tableColumn id="1" name="Vendor"/>
    <x:tableColumn id="2" name="Category"/>
    <x:tableColumn id="3" name="Technical Score"/>
    <x:tableColumn id="4" name="Security Score"/>
    <x:tableColumn id="5" name="Delivery Score"/>
    <x:tableColumn id="6" name="Cost Score"/>
    <x:tableColumn id="7" name="Weighted Score"/>
    <x:tableColumn id="8" name="Status"/>
    <x:tableColumn id="9" name="Notes"/>
    <x:tableColumn id="10" name="Source"/>
  </x:tableColumns>
  <x:tableStyleInfo name="TableStyleMedium2" showRowStripes="1"/>
</x:table>
</file>

<file path=xl/tables/table2.xml><?xml version="1.0" encoding="utf-8"?>
<x:table xmlns:x="http://schemas.openxmlformats.org/spreadsheetml/2006/main" id="2" name="RiskRegisterTable" displayName="RiskRegisterTable" ref="A1:I6" headerRowCount="1">
  <x:tableColumns count="9">
    <x:tableColumn id="1" name="Risk ID"/>
    <x:tableColumn id="2" name="Document"/>
    <x:tableColumn id="3" name="Risk Area"/>
    <x:tableColumn id="4" name="Description"/>
    <x:tableColumn id="5" name="Likelihood"/>
    <x:tableColumn id="6" name="Impact"/>
    <x:tableColumn id="7" name="Risk Score"/>
    <x:tableColumn id="8" name="Mitigation"/>
    <x:tableColumn id="9" name="Owne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61b607aeed4493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e18ade5408b491b" /></Relationships>
</file>

<file path=xl/worksheets/sheet1.xml><?xml version="1.0" encoding="utf-8"?>
<x:worksheet xmlns:x="http://schemas.openxmlformats.org/spreadsheetml/2006/main">
  <x:sheetFormatPr defaultRowHeight="15"/>
  <x:cols>
    <x:col min="1" max="1" width="10.229999542236328" hidden="0" customWidth="1"/>
    <x:col min="2" max="2" width="20.59000015258789" hidden="0" customWidth="1"/>
    <x:col min="3" max="3" width="12.380000114440918" hidden="0" customWidth="1"/>
    <x:col min="4" max="4" width="11.4399995803833" hidden="0" customWidth="1"/>
    <x:col min="5" max="5" width="11.569999694824219" hidden="0" customWidth="1"/>
    <x:col min="6" max="6" width="8.479999542236328" hidden="0" customWidth="1"/>
    <x:col min="7" max="7" width="12.789999961853027" hidden="0" customWidth="1"/>
    <x:col min="8" max="8" width="8.609999656677246" hidden="0" customWidth="1"/>
    <x:col min="9" max="9" width="36" hidden="0" customWidth="1"/>
    <x:col min="10" max="10" width="7.130000114440918" hidden="0" customWidth="1"/>
  </x:cols>
  <x:sheetData>
    <x:row r="1">
      <x:c r="A1" s="4" t="str">
        <x:v>Vendor</x:v>
      </x:c>
      <x:c r="B1" s="4" t="str">
        <x:v>Category</x:v>
      </x:c>
      <x:c r="C1" s="4" t="str">
        <x:v>Technical Score</x:v>
      </x:c>
      <x:c r="D1" s="4" t="str">
        <x:v>Security Score</x:v>
      </x:c>
      <x:c r="E1" s="4" t="str">
        <x:v>Delivery Score</x:v>
      </x:c>
      <x:c r="F1" s="4" t="str">
        <x:v>Cost Score</x:v>
      </x:c>
      <x:c r="G1" s="4" t="str">
        <x:v>Weighted Score</x:v>
      </x:c>
      <x:c r="H1" s="4" t="str">
        <x:v>Status</x:v>
      </x:c>
      <x:c r="I1" s="8" t="str">
        <x:v>Notes</x:v>
      </x:c>
      <x:c r="J1" s="4" t="str">
        <x:v>Source</x:v>
      </x:c>
    </x:row>
    <x:row r="2">
      <x:c r="A2" t="str">
        <x:v>AlphaAI</x:v>
      </x:c>
      <x:c r="B2" t="str">
        <x:v>Enterprise Agent Platform</x:v>
      </x:c>
      <x:c r="C2" s="10" t="n">
        <x:v>88</x:v>
      </x:c>
      <x:c r="D2" s="10" t="n">
        <x:v>82</x:v>
      </x:c>
      <x:c r="E2" s="10" t="n">
        <x:v>79</x:v>
      </x:c>
      <x:c r="F2" s="10" t="n">
        <x:v>70</x:v>
      </x:c>
      <x:c r="G2" s="10" t="n">
        <x:f>C2*0.35+D2*0.25+E2*0.25+F2*0.15</x:f>
        <x:v>81.55</x:v>
      </x:c>
      <x:c r="H2" t="str">
        <x:v>Shortlisted</x:v>
      </x:c>
      <x:c r="I2" t="str">
        <x:v>Strong workflow orchestration and audit logs.</x:v>
      </x:c>
      <x:c r="J2" t="str">
        <x:v>synthetic</x:v>
      </x:c>
    </x:row>
    <x:row r="3">
      <x:c r="A3" t="str">
        <x:v>BetaFlow</x:v>
      </x:c>
      <x:c r="B3" t="str">
        <x:v>RAG Infrastructure</x:v>
      </x:c>
      <x:c r="C3" s="10" t="n">
        <x:v>78</x:v>
      </x:c>
      <x:c r="D3" s="10" t="n">
        <x:v>86</x:v>
      </x:c>
      <x:c r="E3" s="10" t="n">
        <x:v>75</x:v>
      </x:c>
      <x:c r="F3" s="10" t="n">
        <x:v>84</x:v>
      </x:c>
      <x:c r="G3" s="10" t="n">
        <x:f>C3*0.35+D3*0.25+E3*0.25+F3*0.15</x:f>
        <x:v>80.14999999999999</x:v>
      </x:c>
      <x:c r="H3" t="str">
        <x:v>Shortlisted</x:v>
      </x:c>
      <x:c r="I3" t="str">
        <x:v>Good retrieval eval support and table parsing roadmap.</x:v>
      </x:c>
      <x:c r="J3" t="str">
        <x:v>synthetic</x:v>
      </x:c>
    </x:row>
    <x:row r="4">
      <x:c r="A4" t="str">
        <x:v>CodePilotCN</x:v>
      </x:c>
      <x:c r="B4" t="str">
        <x:v>IDE Agent</x:v>
      </x:c>
      <x:c r="C4" s="10" t="n">
        <x:v>92</x:v>
      </x:c>
      <x:c r="D4" s="10" t="n">
        <x:v>76</x:v>
      </x:c>
      <x:c r="E4" s="10" t="n">
        <x:v>81</x:v>
      </x:c>
      <x:c r="F4" s="10" t="n">
        <x:v>65</x:v>
      </x:c>
      <x:c r="G4" s="10" t="n">
        <x:f>C4*0.35+D4*0.25+E4*0.25+F4*0.15</x:f>
        <x:v>81.19999999999999</x:v>
      </x:c>
      <x:c r="H4" t="str">
        <x:v>Watch</x:v>
      </x:c>
      <x:c r="I4" t="str">
        <x:v>Excellent IDE integration; enterprise controls need review.</x:v>
      </x:c>
      <x:c r="J4" t="str">
        <x:v>synthetic</x:v>
      </x:c>
    </x:row>
    <x:row r="5">
      <x:c r="A5" t="str">
        <x:v>DeltaSecure</x:v>
      </x:c>
      <x:c r="B5" t="str">
        <x:v>Private Deployment</x:v>
      </x:c>
      <x:c r="C5" s="10" t="n">
        <x:v>74</x:v>
      </x:c>
      <x:c r="D5" s="10" t="n">
        <x:v>93</x:v>
      </x:c>
      <x:c r="E5" s="10" t="n">
        <x:v>72</x:v>
      </x:c>
      <x:c r="F5" s="10" t="n">
        <x:v>68</x:v>
      </x:c>
      <x:c r="G5" s="10" t="n">
        <x:f>C5*0.35+D5*0.25+E5*0.25+F5*0.15</x:f>
        <x:v>77.35000000000001</x:v>
      </x:c>
      <x:c r="H5" t="str">
        <x:v>Shortlisted</x:v>
      </x:c>
      <x:c r="I5" t="str">
        <x:v>Security posture strong; developer UX weaker.</x:v>
      </x:c>
      <x:c r="J5" t="str">
        <x:v>synthetic</x:v>
      </x:c>
    </x:row>
    <x:row r="6">
      <x:c r="A6" t="str">
        <x:v>EchoOps</x:v>
      </x:c>
      <x:c r="B6" t="str">
        <x:v>Workflow Automation</x:v>
      </x:c>
      <x:c r="C6" s="10" t="n">
        <x:v>69</x:v>
      </x:c>
      <x:c r="D6" s="10" t="n">
        <x:v>71</x:v>
      </x:c>
      <x:c r="E6" s="10" t="n">
        <x:v>88</x:v>
      </x:c>
      <x:c r="F6" s="10" t="n">
        <x:v>91</x:v>
      </x:c>
      <x:c r="G6" s="10" t="n">
        <x:f>C6*0.35+D6*0.25+E6*0.25+F6*0.15</x:f>
        <x:v>77.55</x:v>
      </x:c>
      <x:c r="H6" t="str">
        <x:v>Reject</x:v>
      </x:c>
      <x:c r="I6" t="str">
        <x:v>Cost effective but weak model governance.</x:v>
      </x:c>
      <x:c r="J6" t="str">
        <x:v>synthetic</x:v>
      </x:c>
    </x:row>
    <x:row r="7">
      <x:c r="A7" t="str">
        <x:v>FeishuBridge</x:v>
      </x:c>
      <x:c r="B7" t="str">
        <x:v>Enterprise Integration</x:v>
      </x:c>
      <x:c r="C7" s="10" t="n">
        <x:v>83</x:v>
      </x:c>
      <x:c r="D7" s="10" t="n">
        <x:v>80</x:v>
      </x:c>
      <x:c r="E7" s="10" t="n">
        <x:v>86</x:v>
      </x:c>
      <x:c r="F7" s="10" t="n">
        <x:v>78</x:v>
      </x:c>
      <x:c r="G7" s="10" t="n">
        <x:f>C7*0.35+D7*0.25+E7*0.25+F7*0.15</x:f>
        <x:v>82.25</x:v>
      </x:c>
      <x:c r="H7" t="str">
        <x:v>Shortlisted</x:v>
      </x:c>
      <x:c r="I7" t="str">
        <x:v>Good integration with document and approval workflows.</x:v>
      </x:c>
      <x:c r="J7" t="str">
        <x:v>synthetic</x:v>
      </x:c>
    </x:row>
  </x:sheetData>
  <x:conditionalFormatting sqref="G2:G7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dataValidations count="1">
    <x:dataValidation type="list" sqref="H2:H50">
      <x:formula1>"Shortlisted,Watch,Reject"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61b607aeed4493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5.519999980926514" hidden="0" customWidth="1"/>
    <x:col min="2" max="2" width="32.29999923706055" hidden="0" customWidth="1"/>
    <x:col min="3" max="3" width="13.1899995803833" hidden="0" customWidth="1"/>
    <x:col min="4" max="4" width="44" hidden="0" customWidth="1"/>
    <x:col min="5" max="5" width="8.34000015258789" hidden="0" customWidth="1"/>
    <x:col min="6" max="6" width="5.650000095367432" hidden="0" customWidth="1"/>
    <x:col min="7" max="7" width="8.210000038146973" hidden="0" customWidth="1"/>
    <x:col min="8" max="8" width="42" hidden="0" customWidth="1"/>
    <x:col min="9" max="9" width="6.860000133514404" hidden="0" customWidth="1"/>
  </x:cols>
  <x:sheetData>
    <x:row r="1">
      <x:c r="A1" s="14" t="str">
        <x:v>Risk ID</x:v>
      </x:c>
      <x:c r="B1" s="14" t="str">
        <x:v>Document</x:v>
      </x:c>
      <x:c r="C1" s="14" t="str">
        <x:v>Risk Area</x:v>
      </x:c>
      <x:c r="D1" s="18" t="str">
        <x:v>Description</x:v>
      </x:c>
      <x:c r="E1" s="18" t="str">
        <x:v>Likelihood</x:v>
      </x:c>
      <x:c r="F1" s="18" t="str">
        <x:v>Impact</x:v>
      </x:c>
      <x:c r="G1" s="18" t="str">
        <x:v>Risk Score</x:v>
      </x:c>
      <x:c r="H1" s="18" t="str">
        <x:v>Mitigation</x:v>
      </x:c>
      <x:c r="I1" s="14" t="str">
        <x:v>Owner</x:v>
      </x:c>
    </x:row>
    <x:row r="2">
      <x:c r="A2" t="str">
        <x:v>R-001</x:v>
      </x:c>
      <x:c r="B2" t="str">
        <x:v>enterprise_agent_requirements.pdf</x:v>
      </x:c>
      <x:c r="C2" t="str">
        <x:v>Data Security</x:v>
      </x:c>
      <x:c r="D2" t="str">
        <x:v>Sensitive API keys may be written to logs during tool execution.</x:v>
      </x:c>
      <x:c r="E2" t="n">
        <x:v>3</x:v>
      </x:c>
      <x:c r="F2" t="n">
        <x:v>5</x:v>
      </x:c>
      <x:c r="G2" t="n">
        <x:f>E2*F2</x:f>
        <x:v>15</x:v>
      </x:c>
      <x:c r="H2" t="str">
        <x:v>Mask secrets and disable verbose logging for credentials.</x:v>
      </x:c>
      <x:c r="I2" t="str">
        <x:v>Platform</x:v>
      </x:c>
    </x:row>
    <x:row r="3">
      <x:c r="A3" t="str">
        <x:v>R-002</x:v>
      </x:c>
      <x:c r="B3" t="str">
        <x:v>enterprise_agent_requirements.pdf</x:v>
      </x:c>
      <x:c r="C3" t="str">
        <x:v>Agent Safety</x:v>
      </x:c>
      <x:c r="D3" t="str">
        <x:v>Agent may run destructive commands without confirmation.</x:v>
      </x:c>
      <x:c r="E3" t="n">
        <x:v>2</x:v>
      </x:c>
      <x:c r="F3" t="n">
        <x:v>5</x:v>
      </x:c>
      <x:c r="G3" t="n">
        <x:f>E3*F3</x:f>
        <x:v>10</x:v>
      </x:c>
      <x:c r="H3" t="str">
        <x:v>Require confirmation for delete, deploy, and external network actions.</x:v>
      </x:c>
      <x:c r="I3" t="str">
        <x:v>Agent</x:v>
      </x:c>
    </x:row>
    <x:row r="4">
      <x:c r="A4" t="str">
        <x:v>R-003</x:v>
      </x:c>
      <x:c r="B4" t="str">
        <x:v>rag_ingestion_incident_postmortem.pdf</x:v>
      </x:c>
      <x:c r="C4" t="str">
        <x:v>Retrieval Quality</x:v>
      </x:c>
      <x:c r="D4" t="str">
        <x:v>TOC fragments may enter vector index and pollute top-k results.</x:v>
      </x:c>
      <x:c r="E4" t="n">
        <x:v>4</x:v>
      </x:c>
      <x:c r="F4" t="n">
        <x:v>4</x:v>
      </x:c>
      <x:c r="G4" t="n">
        <x:f>E4*F4</x:f>
        <x:v>16</x:v>
      </x:c>
      <x:c r="H4" t="str">
        <x:v>Filter dot leaders, short chunks, and low-information chunks.</x:v>
      </x:c>
      <x:c r="I4" t="str">
        <x:v>RAG</x:v>
      </x:c>
    </x:row>
    <x:row r="5">
      <x:c r="A5" t="str">
        <x:v>R-004</x:v>
      </x:c>
      <x:c r="B5" t="str">
        <x:v>rag_ingestion_incident_postmortem.pdf</x:v>
      </x:c>
      <x:c r="C5" t="str">
        <x:v>Table Parsing</x:v>
      </x:c>
      <x:c r="D5" t="str">
        <x:v>Flattened tables may lose column relationships.</x:v>
      </x:c>
      <x:c r="E5" t="n">
        <x:v>4</x:v>
      </x:c>
      <x:c r="F5" t="n">
        <x:v>3</x:v>
      </x:c>
      <x:c r="G5" t="n">
        <x:f>E5*F5</x:f>
        <x:v>12</x:v>
      </x:c>
      <x:c r="H5" t="str">
        <x:v>Extract tables to Markdown or structured JSON before embedding.</x:v>
      </x:c>
      <x:c r="I5" t="str">
        <x:v>RAG</x:v>
      </x:c>
    </x:row>
    <x:row r="6">
      <x:c r="A6" t="str">
        <x:v>R-005</x:v>
      </x:c>
      <x:c r="B6" t="str">
        <x:v>vendor_evaluation.xlsx</x:v>
      </x:c>
      <x:c r="C6" t="str">
        <x:v>Scoring Bias</x:v>
      </x:c>
      <x:c r="D6" t="str">
        <x:v>Manual vendor scores may be subjective and inconsistent.</x:v>
      </x:c>
      <x:c r="E6" t="n">
        <x:v>3</x:v>
      </x:c>
      <x:c r="F6" t="n">
        <x:v>3</x:v>
      </x:c>
      <x:c r="G6" t="n">
        <x:f>E6*F6</x:f>
        <x:v>9</x:v>
      </x:c>
      <x:c r="H6" t="str">
        <x:v>Use rubrics and require evidence for each score.</x:v>
      </x:c>
      <x:c r="I6" t="str">
        <x:v>Delivery</x:v>
      </x:c>
    </x:row>
  </x:sheetData>
  <x:conditionalFormatting sqref="G2:G6">
    <x:cfRule type="dataBar" priority="1">
      <x:dataBar>
        <x:cfvo type="min"/>
        <x:cfvo type="max"/>
        <x:color rgb="F97316"/>
      </x:dataBar>
      <x:extLst>
        <x:ext xmlns:x14="http://schemas.microsoft.com/office/spreadsheetml/2009/9/main" uri="{B025F937-C7B1-47D3-B67F-A62EFF666E3E}">
          <x14:id>{EB4713F9-7D84-6A19-06C0-D9953EFF01E9}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5e18ade5408b491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B4713F9-7D84-6A19-06C0-D9953EFF01E9}">
            <x14:dataBar gradient="1">
              <x14:cfvo type="min"/>
              <x14:cfvo type="max"/>
              <x14:fillColor rgb="F97316"/>
            </x14:dataBar>
          </x14:cfRule>
          <xm:sqref>G2:G6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8.709999084472656" hidden="0" customWidth="1"/>
    <x:col min="2" max="2" width="70" hidden="0" customWidth="1"/>
  </x:cols>
  <x:sheetData>
    <x:row r="1">
      <x:c r="A1" s="21" t="str">
        <x:v>Field</x:v>
      </x:c>
      <x:c r="B1" s="24" t="str">
        <x:v>Value</x:v>
      </x:c>
    </x:row>
    <x:row r="2">
      <x:c r="A2" t="str">
        <x:v>Corpus Name</x:v>
      </x:c>
      <x:c r="B2" t="str">
        <x:v>Agent RAG Demo Corpus</x:v>
      </x:c>
    </x:row>
    <x:row r="3">
      <x:c r="A3" t="str">
        <x:v>Generated At</x:v>
      </x:c>
      <x:c r="B3" t="n">
        <x:v>46181.645833333336</x:v>
      </x:c>
    </x:row>
    <x:row r="4">
      <x:c r="A4" t="str">
        <x:v>Purpose</x:v>
      </x:c>
      <x:c r="B4" t="str">
        <x:v>Test multi-document RAG ingestion across PDF and Excel files</x:v>
      </x:c>
    </x:row>
    <x:row r="5">
      <x:c r="A5" t="str">
        <x:v>Recommended Queries</x:v>
      </x:c>
      <x:c r="B5" t="str">
        <x:v>Which vendor has the highest weighted score? / What risks relate to table parsing? / Which documents mention audit logs?</x:v>
      </x:c>
    </x:row>
    <x:row r="6">
      <x:c r="A6" t="str">
        <x:v>Source</x:v>
      </x:c>
      <x:c r="B6" t="str">
        <x:v>Synthetic data generated for local demo; no external confidential content</x:v>
      </x:c>
    </x:row>
  </x:sheetData>
  <x:pageMargins left="0.7" right="0.7" top="0.75" bottom="0.75" header="0.3" footer="0.3"/>
</x:worksheet>
</file>